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drigoburzacomolina/Desktop/MASTER APPLICATION/Trading Alogrithms/UNIS PORTAFOLIO /"/>
    </mc:Choice>
  </mc:AlternateContent>
  <xr:revisionPtr revIDLastSave="0" documentId="13_ncr:1_{427585AF-E015-5841-92F6-DD8942BE9C38}" xr6:coauthVersionLast="47" xr6:coauthVersionMax="47" xr10:uidLastSave="{00000000-0000-0000-0000-000000000000}"/>
  <bookViews>
    <workbookView xWindow="28800" yWindow="500" windowWidth="38400" windowHeight="21100" xr2:uid="{3D339016-DD27-43A6-B5CC-B9AAC06C7D5E}"/>
  </bookViews>
  <sheets>
    <sheet name="CYCLES" sheetId="3" r:id="rId1"/>
    <sheet name="A" sheetId="2" r:id="rId2"/>
    <sheet name="B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3" l="1"/>
  <c r="M18" i="3"/>
  <c r="M17" i="3"/>
  <c r="M16" i="3"/>
  <c r="M15" i="3"/>
  <c r="M14" i="3"/>
  <c r="M13" i="3"/>
  <c r="M12" i="3"/>
  <c r="M11" i="3"/>
  <c r="M10" i="3"/>
  <c r="M9" i="3"/>
  <c r="E24" i="3"/>
  <c r="G5" i="3"/>
  <c r="F5" i="3"/>
  <c r="I12" i="3"/>
  <c r="L12" i="3" s="1"/>
  <c r="I13" i="3"/>
  <c r="L13" i="3" s="1"/>
  <c r="I14" i="3"/>
  <c r="L14" i="3" s="1"/>
  <c r="I15" i="3"/>
  <c r="L15" i="3" s="1"/>
  <c r="I16" i="3"/>
  <c r="L16" i="3" s="1"/>
  <c r="I17" i="3"/>
  <c r="L17" i="3" s="1"/>
  <c r="I18" i="3"/>
  <c r="L18" i="3" s="1"/>
  <c r="I19" i="3"/>
  <c r="L19" i="3" s="1"/>
  <c r="I11" i="3"/>
  <c r="L11" i="3" s="1"/>
  <c r="I10" i="3"/>
  <c r="L10" i="3" s="1"/>
  <c r="F10" i="3"/>
  <c r="F11" i="3"/>
  <c r="F12" i="3"/>
  <c r="F13" i="3"/>
  <c r="F14" i="3"/>
  <c r="F15" i="3"/>
  <c r="F16" i="3"/>
  <c r="F17" i="3"/>
  <c r="F18" i="3"/>
  <c r="F19" i="3"/>
  <c r="F9" i="3"/>
  <c r="E10" i="3"/>
  <c r="E11" i="3"/>
  <c r="E12" i="3"/>
  <c r="E13" i="3"/>
  <c r="E14" i="3"/>
  <c r="E15" i="3"/>
  <c r="E16" i="3"/>
  <c r="E17" i="3"/>
  <c r="E18" i="3"/>
  <c r="E19" i="3"/>
  <c r="L9" i="3"/>
  <c r="L20" i="3" s="1" a="1"/>
  <c r="L20" i="3" s="1"/>
  <c r="E9" i="3"/>
  <c r="A10" i="3"/>
  <c r="A11" i="3" s="1"/>
  <c r="A12" i="3" s="1"/>
  <c r="A13" i="3" s="1"/>
  <c r="A14" i="3" s="1"/>
  <c r="A15" i="3" s="1"/>
  <c r="A16" i="3" s="1"/>
  <c r="A17" i="3" s="1"/>
  <c r="A18" i="3" s="1"/>
  <c r="A19" i="3" s="1"/>
  <c r="M20" i="3" l="1" a="1"/>
  <c r="M20" i="3" s="1"/>
  <c r="E20" i="3" a="1"/>
  <c r="E20" i="3" s="1"/>
  <c r="F20" i="3" a="1"/>
  <c r="F20" i="3" s="1"/>
  <c r="A24" i="3"/>
  <c r="I5" i="3" s="1"/>
  <c r="G13" i="3"/>
  <c r="G12" i="3"/>
  <c r="G16" i="3"/>
  <c r="G15" i="3"/>
  <c r="G14" i="3"/>
  <c r="G9" i="3"/>
  <c r="G19" i="3"/>
  <c r="G18" i="3"/>
  <c r="G10" i="3"/>
  <c r="G11" i="3"/>
  <c r="G17" i="3"/>
  <c r="G20" i="3" l="1" a="1"/>
  <c r="G20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<sst xmlns="http://schemas.openxmlformats.org/spreadsheetml/2006/main" count="78" uniqueCount="66">
  <si>
    <t>AÑOS UP</t>
  </si>
  <si>
    <t>% UP</t>
  </si>
  <si>
    <t>% DOWN</t>
  </si>
  <si>
    <t>INI. UP</t>
  </si>
  <si>
    <t>UP PRICE</t>
  </si>
  <si>
    <t>END UP</t>
  </si>
  <si>
    <t>END DOWN</t>
  </si>
  <si>
    <t>TOTAL Y</t>
  </si>
  <si>
    <t xml:space="preserve"> END UP</t>
  </si>
  <si>
    <t>AÑOS DOWN</t>
  </si>
  <si>
    <t>?????</t>
  </si>
  <si>
    <t>DOW JONES INDUSTRAL AVERAGES CYCLES  STUDY OF LAST 103,4 YEARS</t>
  </si>
  <si>
    <t>TOTAL CYCLES</t>
  </si>
  <si>
    <t>ACTUAL CYCLE</t>
  </si>
  <si>
    <t>INI.UP</t>
  </si>
  <si>
    <t>FOLLOW UP</t>
  </si>
  <si>
    <t>CYCLE DATES</t>
  </si>
  <si>
    <t xml:space="preserve"> INI UP</t>
  </si>
  <si>
    <t>AVERAGES DURATION</t>
  </si>
  <si>
    <t>AVERAGES PERCENTAGES</t>
  </si>
  <si>
    <t xml:space="preserve">                                                                                   CYCLES PRICES AND PRCENTAGES UP&amp;DOWN</t>
  </si>
  <si>
    <t>CONCLUSION:</t>
  </si>
  <si>
    <t>SYSTEM FOR DETERMINING STOCK MARKET CYCLES OF STOCK INDICES</t>
  </si>
  <si>
    <t>The system has been designed in order to determine the cycles of any equity stock market and with the aim of being applicable to</t>
  </si>
  <si>
    <t>any country</t>
  </si>
  <si>
    <t>To do so, the index that best represents the market of the specific country is chosen. For example: S&amp;P 500, NASDAQ 100, DAX 40, CSI 300, etc.</t>
  </si>
  <si>
    <t>and the following are defined, sequentially in time:</t>
  </si>
  <si>
    <t>Initial Absolute Minimum, Initial Absolute Maximum, Final Absolute Minimum</t>
  </si>
  <si>
    <t>The system used to determine, in any market, its ABSOLUTE MAXIMA AND MINIMA, does not use any Technical Indicator such as</t>
  </si>
  <si>
    <t>the classic moving-average crossovers, their slope, etc...</t>
  </si>
  <si>
    <t>It is based on the occurrence of certain events, very clearly defined, one as a necessary but not sufficient condition and another as a</t>
  </si>
  <si>
    <t>sufficient condition.</t>
  </si>
  <si>
    <t>The necessary but not sufficient condition to define the bearish period of a cycle is:</t>
  </si>
  <si>
    <t>With all the temporary maxima and minima of the representative index defined by any logical method such as:</t>
  </si>
  <si>
    <t>A.- A base period is chosen, which can be: hours, days, weeks, or months.</t>
  </si>
  <si>
    <t>B.- For the prices in this period, all the maxima and minima that occur are determined, which will have the character of:</t>
  </si>
  <si>
    <t>Relative Maxima and Relative Minima; for this, any simple, unambiguous, and logical method is used.</t>
  </si>
  <si>
    <t>C.- From among these Relative Maxima and Relative Minima, the Absolute Maxima and Absolute Minima are determined unambiguously, such as:</t>
  </si>
  <si>
    <t>That a Relative Maximum occurs at t and a relative minimum at t+alpha such that: (Relative Maximum - Relative Minimum) &gt;= Beta,</t>
  </si>
  <si>
    <t>with Beta understood as a percentage of the value of the Relative Maximum</t>
  </si>
  <si>
    <t>E.- Symmetrically, for an Absolute Minimum, we consider another percentage gamma that defines it, which may be equal to or different from beta;</t>
  </si>
  <si>
    <t>We recommend that gamma be greater than beta, e.g.: beta = 25% and gamma = 50%</t>
  </si>
  <si>
    <t>The sufficient condition to define the bearish period of a cycle is:</t>
  </si>
  <si>
    <t>In a monthly base period, the Relative Maxima and Relative Minima of that period are determined. The sufficient condition is:</t>
  </si>
  <si>
    <t>That, alternatively, event A or B occurs.</t>
  </si>
  <si>
    <t>Event A: that two Relative Minima occur and that each one is lower than the previous one</t>
  </si>
  <si>
    <t>Event B: that two Relative Maxima occur and that each one is lower than the previous one</t>
  </si>
  <si>
    <t>Using this system, which has only one parameter and one event, the Bullish Cycle can be determined unambiguously.</t>
  </si>
  <si>
    <t>Symmetrically, with a parameter equal to or different from that of the Bullish Cycle and a different event, it is possible to define and analyze the</t>
  </si>
  <si>
    <t>bearish cycle.</t>
  </si>
  <si>
    <t>For the development of this system, programming in Excel and in Visual Basic has been used within the "Trading" platform:</t>
  </si>
  <si>
    <t>VISUAL CHART. Likewise, this platform has been used to produce the charts of the 12 detected cycles that are</t>
  </si>
  <si>
    <t>attached.</t>
  </si>
  <si>
    <t>The designed system—simple, robust, and elegant—has been applied to the history of the last 100 years of the U.S. stock market,</t>
  </si>
  <si>
    <t>via the Dow Jones Index, and it has proven very efficient because the 12 detected stock market cycles practically coincide</t>
  </si>
  <si>
    <t>with those found in the academic and popular literature on these cycles.</t>
  </si>
  <si>
    <t>Likewise, this system has been applied to other important indices such as the DAX 40, Russell 2000, IBEX 35 and others, even to</t>
  </si>
  <si>
    <t>individual securities, and the results obtained are highly reliable</t>
  </si>
  <si>
    <t>NEW WORK TO BE CARRIED OUT:</t>
  </si>
  <si>
    <t>As a future challenge, it is proposed to develop a "Trading System" based on this methodology</t>
  </si>
  <si>
    <t>YEARS UP</t>
  </si>
  <si>
    <t>YEARS DOWN</t>
  </si>
  <si>
    <t>BEGINNING</t>
  </si>
  <si>
    <t>END</t>
  </si>
  <si>
    <t>YEARS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</si>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</sst>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#,##0.0\ _€;[Red]\-#,##0.0\ _€"/>
    <numFmt numFmtId="166" formatCode="0.0"/>
    <numFmt numFmtId="167" formatCode="d\-m\-yy;@"/>
  </numFmts>
  <fonts count="25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0"/>
      <color rgb="FFFF0000"/>
      <name val="Aptos Narrow"/>
      <family val="2"/>
    </font>
    <font>
      <b/>
      <sz val="10"/>
      <color rgb="FF000000"/>
      <name val="Aptos Narrow"/>
      <family val="2"/>
    </font>
    <font>
      <b/>
      <sz val="9"/>
      <color rgb="FFFF0000"/>
      <name val="Aptos Narrow"/>
      <family val="2"/>
    </font>
    <font>
      <b/>
      <sz val="8"/>
      <color rgb="FFFF0000"/>
      <name val="Aptos Narrow"/>
      <family val="2"/>
    </font>
    <font>
      <b/>
      <sz val="11"/>
      <color rgb="FF000000"/>
      <name val="Aptos Narrow"/>
      <family val="2"/>
    </font>
    <font>
      <b/>
      <sz val="7"/>
      <color rgb="FF000000"/>
      <name val="Aptos Narrow"/>
      <family val="2"/>
    </font>
    <font>
      <b/>
      <sz val="7"/>
      <color rgb="FF124F1A"/>
      <name val="Aptos Narrow"/>
      <family val="2"/>
    </font>
    <font>
      <b/>
      <sz val="11"/>
      <color theme="1"/>
      <name val="Aptos Narrow"/>
      <family val="2"/>
      <scheme val="minor"/>
    </font>
    <font>
      <b/>
      <sz val="7"/>
      <name val="Aptos Narrow"/>
      <family val="2"/>
    </font>
    <font>
      <b/>
      <sz val="5"/>
      <color rgb="FF000000"/>
      <name val="Aptos Narrow"/>
      <family val="2"/>
    </font>
    <font>
      <b/>
      <sz val="5"/>
      <color rgb="FF124F1A"/>
      <name val="Aptos Narrow"/>
      <family val="2"/>
    </font>
    <font>
      <sz val="5"/>
      <color theme="1"/>
      <name val="Aptos"/>
      <family val="2"/>
    </font>
    <font>
      <b/>
      <sz val="9"/>
      <color rgb="FF000000"/>
      <name val="Aptos Narrow"/>
      <family val="2"/>
    </font>
    <font>
      <sz val="8"/>
      <color theme="1"/>
      <name val="Aptos Narrow"/>
      <family val="2"/>
      <scheme val="minor"/>
    </font>
    <font>
      <b/>
      <sz val="8"/>
      <color rgb="FF000000"/>
      <name val="Aptos Narrow"/>
      <family val="2"/>
    </font>
    <font>
      <b/>
      <sz val="11"/>
      <color rgb="FFFF0000"/>
      <name val="Aptos Narrow"/>
      <family val="2"/>
      <scheme val="minor"/>
    </font>
    <font>
      <sz val="7"/>
      <color theme="1"/>
      <name val="Aptos Narrow"/>
      <family val="2"/>
      <scheme val="minor"/>
    </font>
    <font>
      <b/>
      <sz val="9"/>
      <color theme="7" tint="-0.249977111117893"/>
      <name val="Aptos"/>
      <family val="2"/>
    </font>
    <font>
      <b/>
      <sz val="9"/>
      <color theme="1"/>
      <name val="Aptos"/>
      <family val="2"/>
    </font>
    <font>
      <b/>
      <u/>
      <sz val="11"/>
      <color theme="1"/>
      <name val="Aptos Narrow"/>
      <family val="2"/>
      <scheme val="minor"/>
    </font>
    <font>
      <b/>
      <sz val="7"/>
      <color rgb="FFFF0000"/>
      <name val="Aptos Narrow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31">
    <xf numFmtId="0" fontId="0" fillId="0" borderId="0" xfId="0"/>
    <xf numFmtId="0" fontId="1" fillId="0" borderId="0" xfId="0" applyFont="1"/>
    <xf numFmtId="1" fontId="0" fillId="0" borderId="0" xfId="0" applyNumberFormat="1"/>
    <xf numFmtId="4" fontId="0" fillId="0" borderId="0" xfId="0" applyNumberFormat="1"/>
    <xf numFmtId="0" fontId="2" fillId="0" borderId="1" xfId="0" applyFont="1" applyBorder="1"/>
    <xf numFmtId="0" fontId="4" fillId="0" borderId="0" xfId="0" applyFont="1" applyAlignment="1">
      <alignment vertical="center"/>
    </xf>
    <xf numFmtId="164" fontId="0" fillId="0" borderId="0" xfId="0" applyNumberFormat="1"/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65" fontId="5" fillId="0" borderId="4" xfId="0" applyNumberFormat="1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6" fillId="0" borderId="4" xfId="0" applyFont="1" applyBorder="1" applyAlignment="1">
      <alignment horizontal="center" vertical="center"/>
    </xf>
    <xf numFmtId="2" fontId="9" fillId="0" borderId="10" xfId="0" applyNumberFormat="1" applyFont="1" applyBorder="1" applyAlignment="1">
      <alignment horizontal="center" vertical="center"/>
    </xf>
    <xf numFmtId="4" fontId="9" fillId="0" borderId="10" xfId="0" applyNumberFormat="1" applyFont="1" applyBorder="1" applyAlignment="1">
      <alignment horizontal="center" vertical="center"/>
    </xf>
    <xf numFmtId="4" fontId="12" fillId="0" borderId="10" xfId="0" applyNumberFormat="1" applyFont="1" applyBorder="1" applyAlignment="1">
      <alignment horizontal="center" vertical="center"/>
    </xf>
    <xf numFmtId="2" fontId="9" fillId="0" borderId="9" xfId="0" applyNumberFormat="1" applyFont="1" applyBorder="1" applyAlignment="1">
      <alignment horizontal="center" vertical="center"/>
    </xf>
    <xf numFmtId="2" fontId="9" fillId="0" borderId="8" xfId="0" applyNumberFormat="1" applyFont="1" applyBorder="1" applyAlignment="1">
      <alignment horizontal="center" vertical="center"/>
    </xf>
    <xf numFmtId="4" fontId="9" fillId="0" borderId="9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165" fontId="3" fillId="0" borderId="0" xfId="0" applyNumberFormat="1" applyFont="1" applyAlignment="1">
      <alignment horizontal="center"/>
    </xf>
    <xf numFmtId="165" fontId="9" fillId="0" borderId="10" xfId="0" applyNumberFormat="1" applyFont="1" applyBorder="1" applyAlignment="1">
      <alignment horizontal="center" vertical="center"/>
    </xf>
    <xf numFmtId="165" fontId="9" fillId="0" borderId="9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/>
    </xf>
    <xf numFmtId="165" fontId="18" fillId="0" borderId="4" xfId="0" applyNumberFormat="1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4" fontId="9" fillId="0" borderId="10" xfId="0" applyNumberFormat="1" applyFont="1" applyBorder="1" applyAlignment="1">
      <alignment horizontal="center" vertical="center"/>
    </xf>
    <xf numFmtId="14" fontId="9" fillId="0" borderId="9" xfId="0" applyNumberFormat="1" applyFont="1" applyBorder="1" applyAlignment="1">
      <alignment horizontal="center" vertical="center"/>
    </xf>
    <xf numFmtId="14" fontId="10" fillId="0" borderId="10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4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2" fontId="9" fillId="0" borderId="7" xfId="0" applyNumberFormat="1" applyFont="1" applyBorder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0" fontId="0" fillId="0" borderId="5" xfId="0" applyBorder="1"/>
    <xf numFmtId="0" fontId="0" fillId="0" borderId="7" xfId="0" applyBorder="1"/>
    <xf numFmtId="0" fontId="0" fillId="0" borderId="8" xfId="0" applyBorder="1"/>
    <xf numFmtId="14" fontId="9" fillId="0" borderId="11" xfId="0" applyNumberFormat="1" applyFont="1" applyBorder="1" applyAlignment="1">
      <alignment horizontal="center" vertical="center"/>
    </xf>
    <xf numFmtId="2" fontId="9" fillId="0" borderId="11" xfId="0" applyNumberFormat="1" applyFont="1" applyBorder="1" applyAlignment="1">
      <alignment horizontal="center" vertical="center"/>
    </xf>
    <xf numFmtId="4" fontId="9" fillId="0" borderId="11" xfId="0" applyNumberFormat="1" applyFont="1" applyBorder="1" applyAlignment="1">
      <alignment horizontal="center" vertical="center"/>
    </xf>
    <xf numFmtId="165" fontId="9" fillId="0" borderId="11" xfId="0" applyNumberFormat="1" applyFont="1" applyBorder="1" applyAlignment="1">
      <alignment horizontal="center" vertical="center"/>
    </xf>
    <xf numFmtId="0" fontId="0" fillId="0" borderId="1" xfId="0" applyBorder="1"/>
    <xf numFmtId="14" fontId="9" fillId="0" borderId="4" xfId="0" applyNumberFormat="1" applyFont="1" applyBorder="1" applyAlignment="1">
      <alignment horizontal="center" vertical="center"/>
    </xf>
    <xf numFmtId="4" fontId="9" fillId="0" borderId="4" xfId="0" applyNumberFormat="1" applyFont="1" applyBorder="1" applyAlignment="1">
      <alignment horizontal="center" vertical="center"/>
    </xf>
    <xf numFmtId="4" fontId="9" fillId="0" borderId="3" xfId="0" applyNumberFormat="1" applyFont="1" applyBorder="1" applyAlignment="1">
      <alignment horizontal="center" vertical="center"/>
    </xf>
    <xf numFmtId="0" fontId="11" fillId="0" borderId="0" xfId="0" applyFont="1"/>
    <xf numFmtId="0" fontId="11" fillId="0" borderId="1" xfId="0" applyFont="1" applyBorder="1"/>
    <xf numFmtId="2" fontId="5" fillId="0" borderId="0" xfId="0" applyNumberFormat="1" applyFont="1" applyAlignment="1">
      <alignment horizontal="center" vertical="center"/>
    </xf>
    <xf numFmtId="0" fontId="20" fillId="0" borderId="1" xfId="0" applyFont="1" applyBorder="1"/>
    <xf numFmtId="0" fontId="20" fillId="0" borderId="0" xfId="0" applyFont="1"/>
    <xf numFmtId="2" fontId="9" fillId="0" borderId="4" xfId="0" applyNumberFormat="1" applyFont="1" applyBorder="1" applyAlignment="1">
      <alignment horizontal="center" vertical="center"/>
    </xf>
    <xf numFmtId="167" fontId="6" fillId="0" borderId="1" xfId="0" applyNumberFormat="1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167" fontId="6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2" fontId="9" fillId="0" borderId="5" xfId="0" applyNumberFormat="1" applyFont="1" applyBorder="1" applyAlignment="1">
      <alignment horizontal="center" vertical="center"/>
    </xf>
    <xf numFmtId="2" fontId="12" fillId="0" borderId="7" xfId="0" applyNumberFormat="1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165" fontId="5" fillId="0" borderId="9" xfId="0" applyNumberFormat="1" applyFont="1" applyBorder="1" applyAlignment="1">
      <alignment horizontal="center" vertical="center"/>
    </xf>
    <xf numFmtId="165" fontId="18" fillId="0" borderId="9" xfId="0" applyNumberFormat="1" applyFont="1" applyBorder="1" applyAlignment="1">
      <alignment horizontal="center" vertical="center"/>
    </xf>
    <xf numFmtId="14" fontId="9" fillId="0" borderId="0" xfId="0" applyNumberFormat="1" applyFont="1" applyAlignment="1">
      <alignment horizontal="left" vertical="center"/>
    </xf>
    <xf numFmtId="14" fontId="9" fillId="0" borderId="2" xfId="0" applyNumberFormat="1" applyFont="1" applyBorder="1" applyAlignment="1">
      <alignment horizontal="left" vertical="center"/>
    </xf>
    <xf numFmtId="14" fontId="9" fillId="0" borderId="3" xfId="0" applyNumberFormat="1" applyFont="1" applyBorder="1" applyAlignment="1">
      <alignment horizontal="center" vertical="center"/>
    </xf>
    <xf numFmtId="166" fontId="9" fillId="0" borderId="2" xfId="0" applyNumberFormat="1" applyFont="1" applyBorder="1" applyAlignment="1">
      <alignment horizontal="center" vertical="center"/>
    </xf>
    <xf numFmtId="166" fontId="9" fillId="0" borderId="1" xfId="0" applyNumberFormat="1" applyFont="1" applyBorder="1" applyAlignment="1">
      <alignment horizontal="center" vertical="center"/>
    </xf>
    <xf numFmtId="166" fontId="9" fillId="0" borderId="4" xfId="0" applyNumberFormat="1" applyFont="1" applyBorder="1" applyAlignment="1">
      <alignment horizontal="center" vertical="center"/>
    </xf>
    <xf numFmtId="2" fontId="9" fillId="0" borderId="2" xfId="0" applyNumberFormat="1" applyFont="1" applyBorder="1" applyAlignment="1">
      <alignment horizontal="left" vertical="center"/>
    </xf>
    <xf numFmtId="165" fontId="9" fillId="0" borderId="1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horizontal="center"/>
    </xf>
    <xf numFmtId="0" fontId="21" fillId="0" borderId="3" xfId="0" applyFont="1" applyBorder="1" applyAlignment="1">
      <alignment horizontal="center"/>
    </xf>
    <xf numFmtId="0" fontId="22" fillId="0" borderId="3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14" fontId="22" fillId="0" borderId="3" xfId="0" applyNumberFormat="1" applyFont="1" applyBorder="1" applyAlignment="1">
      <alignment horizontal="center"/>
    </xf>
    <xf numFmtId="165" fontId="22" fillId="0" borderId="3" xfId="0" applyNumberFormat="1" applyFont="1" applyBorder="1" applyAlignment="1">
      <alignment horizontal="center"/>
    </xf>
    <xf numFmtId="165" fontId="22" fillId="0" borderId="4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23" fillId="0" borderId="0" xfId="0" applyFont="1" applyAlignment="1">
      <alignment horizontal="left"/>
    </xf>
    <xf numFmtId="0" fontId="23" fillId="0" borderId="0" xfId="0" applyFont="1" applyAlignment="1">
      <alignment horizontal="center"/>
    </xf>
    <xf numFmtId="165" fontId="24" fillId="0" borderId="11" xfId="0" applyNumberFormat="1" applyFont="1" applyBorder="1" applyAlignment="1">
      <alignment horizontal="center" vertical="center"/>
    </xf>
    <xf numFmtId="165" fontId="24" fillId="0" borderId="10" xfId="0" applyNumberFormat="1" applyFont="1" applyBorder="1" applyAlignment="1">
      <alignment horizontal="center" vertical="center"/>
    </xf>
    <xf numFmtId="165" fontId="24" fillId="0" borderId="8" xfId="0" applyNumberFormat="1" applyFont="1" applyBorder="1" applyAlignment="1">
      <alignment horizontal="center" vertical="center"/>
    </xf>
    <xf numFmtId="165" fontId="24" fillId="0" borderId="4" xfId="0" applyNumberFormat="1" applyFont="1" applyBorder="1" applyAlignment="1">
      <alignment horizontal="center" vertical="center"/>
    </xf>
    <xf numFmtId="2" fontId="11" fillId="0" borderId="0" xfId="0" applyNumberFormat="1" applyFont="1"/>
    <xf numFmtId="1" fontId="1" fillId="0" borderId="0" xfId="0" applyNumberFormat="1" applyFont="1"/>
    <xf numFmtId="4" fontId="1" fillId="0" borderId="0" xfId="0" applyNumberFormat="1" applyFont="1"/>
    <xf numFmtId="164" fontId="1" fillId="0" borderId="0" xfId="0" applyNumberFormat="1" applyFont="1"/>
    <xf numFmtId="0" fontId="2" fillId="0" borderId="0" xfId="0" applyFont="1"/>
    <xf numFmtId="1" fontId="2" fillId="0" borderId="0" xfId="0" applyNumberFormat="1" applyFont="1"/>
    <xf numFmtId="4" fontId="2" fillId="0" borderId="0" xfId="0" applyNumberFormat="1" applyFont="1"/>
    <xf numFmtId="164" fontId="2" fillId="0" borderId="0" xfId="0" applyNumberFormat="1" applyFont="1"/>
    <xf numFmtId="0" fontId="5" fillId="0" borderId="0" xfId="0" applyFont="1" applyAlignment="1">
      <alignment vertical="center"/>
    </xf>
    <xf numFmtId="165" fontId="5" fillId="0" borderId="0" xfId="0" applyNumberFormat="1" applyFont="1" applyAlignment="1">
      <alignment vertical="center"/>
    </xf>
    <xf numFmtId="164" fontId="17" fillId="0" borderId="0" xfId="0" applyNumberFormat="1" applyFont="1"/>
    <xf numFmtId="4" fontId="17" fillId="0" borderId="0" xfId="0" applyNumberFormat="1" applyFont="1"/>
    <xf numFmtId="0" fontId="17" fillId="0" borderId="0" xfId="0" applyFont="1"/>
    <xf numFmtId="14" fontId="13" fillId="0" borderId="0" xfId="0" applyNumberFormat="1" applyFont="1" applyAlignment="1">
      <alignment horizontal="right" vertical="center"/>
    </xf>
    <xf numFmtId="2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165" fontId="9" fillId="0" borderId="0" xfId="0" applyNumberFormat="1" applyFont="1" applyAlignment="1">
      <alignment horizontal="right" vertical="center"/>
    </xf>
    <xf numFmtId="2" fontId="12" fillId="0" borderId="0" xfId="0" applyNumberFormat="1" applyFont="1" applyAlignment="1">
      <alignment horizontal="right" vertical="center"/>
    </xf>
    <xf numFmtId="0" fontId="12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right" vertical="center"/>
    </xf>
    <xf numFmtId="4" fontId="12" fillId="0" borderId="0" xfId="0" applyNumberFormat="1" applyFont="1" applyAlignment="1">
      <alignment horizontal="right" vertical="center"/>
    </xf>
    <xf numFmtId="4" fontId="9" fillId="0" borderId="0" xfId="0" applyNumberFormat="1" applyFont="1" applyAlignment="1">
      <alignment horizontal="right" vertical="center"/>
    </xf>
    <xf numFmtId="14" fontId="13" fillId="0" borderId="0" xfId="0" applyNumberFormat="1" applyFont="1" applyAlignment="1">
      <alignment vertical="center"/>
    </xf>
    <xf numFmtId="165" fontId="8" fillId="0" borderId="0" xfId="0" applyNumberFormat="1" applyFont="1" applyAlignment="1">
      <alignment vertical="center"/>
    </xf>
    <xf numFmtId="0" fontId="15" fillId="0" borderId="0" xfId="0" applyFont="1"/>
    <xf numFmtId="0" fontId="3" fillId="0" borderId="0" xfId="0" applyFont="1"/>
    <xf numFmtId="165" fontId="3" fillId="0" borderId="0" xfId="0" applyNumberFormat="1" applyFont="1"/>
    <xf numFmtId="0" fontId="8" fillId="0" borderId="0" xfId="0" applyFont="1" applyAlignment="1">
      <alignment vertical="center"/>
    </xf>
    <xf numFmtId="2" fontId="8" fillId="0" borderId="0" xfId="0" applyNumberFormat="1" applyFont="1" applyAlignment="1">
      <alignment horizontal="right" vertical="center"/>
    </xf>
    <xf numFmtId="2" fontId="16" fillId="0" borderId="0" xfId="0" applyNumberFormat="1" applyFont="1" applyAlignment="1">
      <alignment horizontal="right" vertical="center"/>
    </xf>
    <xf numFmtId="0" fontId="2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1E30B-F6FD-4425-A590-CCD2C3C56F30}">
  <dimension ref="A1:M82"/>
  <sheetViews>
    <sheetView tabSelected="1" zoomScale="206" zoomScaleNormal="115" workbookViewId="0">
      <selection activeCell="J5" sqref="J5"/>
    </sheetView>
  </sheetViews>
  <sheetFormatPr baseColWidth="10" defaultRowHeight="15"/>
  <cols>
    <col min="1" max="1" width="3.6640625" customWidth="1"/>
    <col min="2" max="2" width="11.33203125" style="21" customWidth="1"/>
    <col min="3" max="3" width="12.1640625" style="21" customWidth="1"/>
    <col min="4" max="4" width="10" style="21" customWidth="1"/>
    <col min="5" max="5" width="8" style="21" customWidth="1"/>
    <col min="6" max="6" width="9.83203125" style="21" customWidth="1"/>
    <col min="7" max="7" width="9.5" style="21" customWidth="1"/>
    <col min="8" max="8" width="2.6640625" style="21" customWidth="1"/>
    <col min="9" max="9" width="10.1640625" style="21" customWidth="1"/>
    <col min="10" max="10" width="10.33203125" style="21" customWidth="1"/>
    <col min="11" max="11" width="8.33203125" style="21" customWidth="1"/>
    <col min="12" max="13" width="6.83203125" style="26" customWidth="1"/>
  </cols>
  <sheetData>
    <row r="1" spans="1:13" ht="16" thickBot="1"/>
    <row r="2" spans="1:13" ht="16" thickBot="1">
      <c r="C2" s="37"/>
      <c r="D2" s="38"/>
      <c r="E2" s="38"/>
      <c r="F2" s="39" t="s">
        <v>11</v>
      </c>
      <c r="G2" s="38"/>
      <c r="H2" s="38"/>
      <c r="I2" s="38"/>
      <c r="J2" s="38"/>
      <c r="K2" s="40"/>
    </row>
    <row r="3" spans="1:13" ht="17" thickBot="1">
      <c r="B3" s="5"/>
      <c r="C3" s="5"/>
      <c r="D3" s="5"/>
      <c r="E3" s="5"/>
      <c r="F3" s="5"/>
      <c r="G3" s="5"/>
      <c r="H3" s="5"/>
      <c r="I3" s="5"/>
      <c r="J3" s="5"/>
      <c r="K3" s="11"/>
      <c r="L3" s="22"/>
      <c r="M3" s="22"/>
    </row>
    <row r="4" spans="1:13" ht="17" thickBot="1">
      <c r="D4" s="30" t="s">
        <v>62</v>
      </c>
      <c r="E4" s="30" t="s">
        <v>63</v>
      </c>
      <c r="F4" s="30" t="s">
        <v>64</v>
      </c>
      <c r="G4" s="34" t="s">
        <v>65</v>
      </c>
      <c r="H4" s="34"/>
      <c r="I4" s="10" t="s">
        <v>12</v>
      </c>
      <c r="K4" s="12"/>
      <c r="L4" s="22"/>
      <c r="M4" s="22"/>
    </row>
    <row r="5" spans="1:13" ht="17" thickBot="1">
      <c r="D5" s="63">
        <v>7914</v>
      </c>
      <c r="E5" s="63">
        <v>45657</v>
      </c>
      <c r="F5" s="64">
        <f>+(E5-D5)/365</f>
        <v>103.40547945205479</v>
      </c>
      <c r="G5" s="65">
        <f>+(E5-D5)/30</f>
        <v>1258.0999999999999</v>
      </c>
      <c r="H5" s="65"/>
      <c r="I5" s="65">
        <f>+A24</f>
        <v>12</v>
      </c>
      <c r="K5" s="12"/>
      <c r="L5" s="22"/>
      <c r="M5" s="22"/>
    </row>
    <row r="6" spans="1:13" ht="17" thickBot="1">
      <c r="D6" s="66"/>
      <c r="E6" s="66"/>
      <c r="F6" s="67"/>
      <c r="G6" s="68"/>
      <c r="H6" s="68"/>
      <c r="I6" s="68"/>
      <c r="K6" s="12"/>
      <c r="L6" s="22"/>
      <c r="M6" s="22"/>
    </row>
    <row r="7" spans="1:13" s="1" customFormat="1" ht="14" thickBot="1">
      <c r="A7" s="4"/>
      <c r="B7" s="85"/>
      <c r="C7" s="86"/>
      <c r="D7" s="87" t="s">
        <v>16</v>
      </c>
      <c r="E7" s="87"/>
      <c r="F7" s="87"/>
      <c r="G7" s="88"/>
      <c r="H7" s="87"/>
      <c r="I7" s="89" t="s">
        <v>20</v>
      </c>
      <c r="J7" s="90"/>
      <c r="K7" s="90"/>
      <c r="L7" s="91"/>
      <c r="M7" s="92"/>
    </row>
    <row r="8" spans="1:13" ht="16" thickBot="1">
      <c r="A8" s="53"/>
      <c r="B8" s="35" t="s">
        <v>3</v>
      </c>
      <c r="C8" s="36" t="s">
        <v>5</v>
      </c>
      <c r="D8" s="70" t="s">
        <v>6</v>
      </c>
      <c r="E8" s="70" t="s">
        <v>60</v>
      </c>
      <c r="F8" s="74" t="s">
        <v>61</v>
      </c>
      <c r="G8" s="70" t="s">
        <v>7</v>
      </c>
      <c r="H8" s="69"/>
      <c r="I8" s="36" t="s">
        <v>17</v>
      </c>
      <c r="J8" s="36" t="s">
        <v>8</v>
      </c>
      <c r="K8" s="73" t="s">
        <v>6</v>
      </c>
      <c r="L8" s="75" t="s">
        <v>1</v>
      </c>
      <c r="M8" s="76" t="s">
        <v>2</v>
      </c>
    </row>
    <row r="9" spans="1:13">
      <c r="A9" s="46">
        <v>1</v>
      </c>
      <c r="B9" s="49">
        <v>7914</v>
      </c>
      <c r="C9" s="49">
        <v>10866</v>
      </c>
      <c r="D9" s="49">
        <v>11899</v>
      </c>
      <c r="E9" s="50">
        <f>+(C9-B9)/365</f>
        <v>8.087671232876712</v>
      </c>
      <c r="F9" s="50">
        <f>(+D9-C9)/365</f>
        <v>2.8301369863013699</v>
      </c>
      <c r="G9" s="50">
        <f>+E9+F9</f>
        <v>10.917808219178081</v>
      </c>
      <c r="H9" s="45"/>
      <c r="I9" s="71">
        <v>63.9</v>
      </c>
      <c r="J9" s="51">
        <v>381.17</v>
      </c>
      <c r="K9" s="51">
        <v>41.22</v>
      </c>
      <c r="L9" s="52">
        <f t="shared" ref="L9:L19" si="0">+(J9-I9)/I9*100</f>
        <v>496.51017214397501</v>
      </c>
      <c r="M9" s="96">
        <f t="shared" ref="M9:M19" si="1">-(J9-K9)/J9*100</f>
        <v>-89.185927538893424</v>
      </c>
    </row>
    <row r="10" spans="1:13">
      <c r="A10" s="47">
        <f>A9+1</f>
        <v>2</v>
      </c>
      <c r="B10" s="31">
        <v>11899</v>
      </c>
      <c r="C10" s="31">
        <v>13605</v>
      </c>
      <c r="D10" s="31">
        <v>13970</v>
      </c>
      <c r="E10" s="15">
        <f t="shared" ref="E10:E19" si="2">+(C10-B10)/365</f>
        <v>4.6739726027397257</v>
      </c>
      <c r="F10" s="15">
        <f t="shared" ref="F10:F19" si="3">(+D10-C10)/365</f>
        <v>1</v>
      </c>
      <c r="G10" s="15">
        <f t="shared" ref="G10:G19" si="4">+E10+F10</f>
        <v>5.6739726027397257</v>
      </c>
      <c r="H10" s="45"/>
      <c r="I10" s="72">
        <f>K9</f>
        <v>41.22</v>
      </c>
      <c r="J10" s="17">
        <v>194.4</v>
      </c>
      <c r="K10" s="17">
        <v>98.95</v>
      </c>
      <c r="L10" s="23">
        <f t="shared" si="0"/>
        <v>371.61572052401749</v>
      </c>
      <c r="M10" s="97">
        <f t="shared" si="1"/>
        <v>-49.099794238683124</v>
      </c>
    </row>
    <row r="11" spans="1:13">
      <c r="A11" s="47">
        <f t="shared" ref="A11:A19" si="5">A10+1</f>
        <v>3</v>
      </c>
      <c r="B11" s="31">
        <v>13970</v>
      </c>
      <c r="C11" s="31">
        <v>14214</v>
      </c>
      <c r="D11" s="31">
        <v>15461</v>
      </c>
      <c r="E11" s="15">
        <f t="shared" si="2"/>
        <v>0.66849315068493154</v>
      </c>
      <c r="F11" s="15">
        <f t="shared" si="3"/>
        <v>3.4164383561643836</v>
      </c>
      <c r="G11" s="15">
        <f t="shared" si="4"/>
        <v>4.0849315068493155</v>
      </c>
      <c r="H11" s="45"/>
      <c r="I11" s="72">
        <f>K10</f>
        <v>98.95</v>
      </c>
      <c r="J11" s="17">
        <v>158.08000000000001</v>
      </c>
      <c r="K11" s="17">
        <v>92.92</v>
      </c>
      <c r="L11" s="23">
        <f t="shared" si="0"/>
        <v>59.75745325922184</v>
      </c>
      <c r="M11" s="97">
        <f t="shared" si="1"/>
        <v>-41.219635627530366</v>
      </c>
    </row>
    <row r="12" spans="1:13">
      <c r="A12" s="47">
        <f t="shared" si="5"/>
        <v>4</v>
      </c>
      <c r="B12" s="31">
        <v>15461</v>
      </c>
      <c r="C12" s="31">
        <v>22644</v>
      </c>
      <c r="D12" s="33">
        <v>22826</v>
      </c>
      <c r="E12" s="15">
        <f t="shared" si="2"/>
        <v>19.67945205479452</v>
      </c>
      <c r="F12" s="15">
        <f t="shared" si="3"/>
        <v>0.49863013698630138</v>
      </c>
      <c r="G12" s="15">
        <f t="shared" si="4"/>
        <v>20.17808219178082</v>
      </c>
      <c r="H12" s="45"/>
      <c r="I12" s="72">
        <f t="shared" ref="I12:I19" si="6">K11</f>
        <v>92.92</v>
      </c>
      <c r="J12" s="17">
        <v>734.9</v>
      </c>
      <c r="K12" s="17">
        <v>535.76</v>
      </c>
      <c r="L12" s="23">
        <f t="shared" si="0"/>
        <v>690.89539388721482</v>
      </c>
      <c r="M12" s="97">
        <f t="shared" si="1"/>
        <v>-27.097564294461829</v>
      </c>
    </row>
    <row r="13" spans="1:13">
      <c r="A13" s="47">
        <f t="shared" si="5"/>
        <v>5</v>
      </c>
      <c r="B13" s="31">
        <v>22826</v>
      </c>
      <c r="C13" s="31">
        <v>24166</v>
      </c>
      <c r="D13" s="31">
        <v>25749</v>
      </c>
      <c r="E13" s="15">
        <f t="shared" si="2"/>
        <v>3.6712328767123288</v>
      </c>
      <c r="F13" s="15">
        <f t="shared" si="3"/>
        <v>4.3369863013698629</v>
      </c>
      <c r="G13" s="15">
        <f t="shared" si="4"/>
        <v>8.0082191780821912</v>
      </c>
      <c r="H13" s="45"/>
      <c r="I13" s="72">
        <f t="shared" si="6"/>
        <v>535.76</v>
      </c>
      <c r="J13" s="17">
        <v>995.15</v>
      </c>
      <c r="K13" s="17">
        <v>682.9</v>
      </c>
      <c r="L13" s="23">
        <f t="shared" si="0"/>
        <v>85.745483052112874</v>
      </c>
      <c r="M13" s="97">
        <f t="shared" si="1"/>
        <v>-31.377179319700549</v>
      </c>
    </row>
    <row r="14" spans="1:13">
      <c r="A14" s="47">
        <f t="shared" si="5"/>
        <v>6</v>
      </c>
      <c r="B14" s="31">
        <v>25749</v>
      </c>
      <c r="C14" s="31">
        <v>26695</v>
      </c>
      <c r="D14" s="31">
        <v>27394</v>
      </c>
      <c r="E14" s="15">
        <f t="shared" si="2"/>
        <v>2.591780821917808</v>
      </c>
      <c r="F14" s="15">
        <f t="shared" si="3"/>
        <v>1.9150684931506849</v>
      </c>
      <c r="G14" s="15">
        <f t="shared" si="4"/>
        <v>4.506849315068493</v>
      </c>
      <c r="H14" s="45"/>
      <c r="I14" s="72">
        <f t="shared" si="6"/>
        <v>682.9</v>
      </c>
      <c r="J14" s="17">
        <v>1051.7</v>
      </c>
      <c r="K14" s="17">
        <v>577.6</v>
      </c>
      <c r="L14" s="23">
        <f t="shared" si="0"/>
        <v>54.004978767023005</v>
      </c>
      <c r="M14" s="97">
        <f t="shared" si="1"/>
        <v>-45.079395264809357</v>
      </c>
    </row>
    <row r="15" spans="1:13">
      <c r="A15" s="47">
        <f t="shared" si="5"/>
        <v>7</v>
      </c>
      <c r="B15" s="31">
        <v>27394</v>
      </c>
      <c r="C15" s="31">
        <v>28033</v>
      </c>
      <c r="D15" s="31">
        <v>28580</v>
      </c>
      <c r="E15" s="15">
        <f t="shared" si="2"/>
        <v>1.7506849315068493</v>
      </c>
      <c r="F15" s="15">
        <f t="shared" si="3"/>
        <v>1.4986301369863013</v>
      </c>
      <c r="G15" s="15">
        <f t="shared" si="4"/>
        <v>3.2493150684931509</v>
      </c>
      <c r="H15" s="45"/>
      <c r="I15" s="43">
        <f t="shared" si="6"/>
        <v>577.6</v>
      </c>
      <c r="J15" s="16">
        <v>1014.79</v>
      </c>
      <c r="K15" s="16">
        <v>742.72</v>
      </c>
      <c r="L15" s="23">
        <f t="shared" si="0"/>
        <v>75.690789473684191</v>
      </c>
      <c r="M15" s="97">
        <f t="shared" si="1"/>
        <v>-26.810473102809446</v>
      </c>
    </row>
    <row r="16" spans="1:13">
      <c r="A16" s="47">
        <f t="shared" si="5"/>
        <v>8</v>
      </c>
      <c r="B16" s="31">
        <v>28580</v>
      </c>
      <c r="C16" s="31">
        <v>32020</v>
      </c>
      <c r="D16" s="31">
        <v>32080</v>
      </c>
      <c r="E16" s="15">
        <f t="shared" si="2"/>
        <v>9.4246575342465757</v>
      </c>
      <c r="F16" s="15">
        <f t="shared" si="3"/>
        <v>0.16438356164383561</v>
      </c>
      <c r="G16" s="15">
        <f t="shared" si="4"/>
        <v>9.589041095890412</v>
      </c>
      <c r="H16" s="45"/>
      <c r="I16" s="43">
        <f t="shared" si="6"/>
        <v>742.72</v>
      </c>
      <c r="J16" s="16">
        <v>2736.6</v>
      </c>
      <c r="K16" s="16">
        <v>1616.71</v>
      </c>
      <c r="L16" s="23">
        <f t="shared" si="0"/>
        <v>268.45648427401983</v>
      </c>
      <c r="M16" s="97">
        <f t="shared" si="1"/>
        <v>-40.922677775341661</v>
      </c>
    </row>
    <row r="17" spans="1:13">
      <c r="A17" s="47">
        <f t="shared" si="5"/>
        <v>9</v>
      </c>
      <c r="B17" s="31">
        <v>32080</v>
      </c>
      <c r="C17" s="31">
        <v>36556</v>
      </c>
      <c r="D17" s="31">
        <v>37560</v>
      </c>
      <c r="E17" s="15">
        <f t="shared" si="2"/>
        <v>12.263013698630138</v>
      </c>
      <c r="F17" s="15">
        <f t="shared" si="3"/>
        <v>2.7506849315068491</v>
      </c>
      <c r="G17" s="15">
        <f t="shared" si="4"/>
        <v>15.013698630136986</v>
      </c>
      <c r="H17" s="45"/>
      <c r="I17" s="43">
        <f t="shared" si="6"/>
        <v>1616.71</v>
      </c>
      <c r="J17" s="16">
        <v>11750.28</v>
      </c>
      <c r="K17" s="16">
        <v>7197.49</v>
      </c>
      <c r="L17" s="23">
        <f t="shared" si="0"/>
        <v>626.80196200926571</v>
      </c>
      <c r="M17" s="97">
        <f t="shared" si="1"/>
        <v>-38.746225621857526</v>
      </c>
    </row>
    <row r="18" spans="1:13">
      <c r="A18" s="47">
        <f t="shared" si="5"/>
        <v>10</v>
      </c>
      <c r="B18" s="31">
        <v>37560</v>
      </c>
      <c r="C18" s="31">
        <v>39386</v>
      </c>
      <c r="D18" s="31">
        <v>39903</v>
      </c>
      <c r="E18" s="15">
        <f t="shared" si="2"/>
        <v>5.0027397260273974</v>
      </c>
      <c r="F18" s="15">
        <f t="shared" si="3"/>
        <v>1.4164383561643836</v>
      </c>
      <c r="G18" s="15">
        <f t="shared" si="4"/>
        <v>6.419178082191781</v>
      </c>
      <c r="H18" s="45"/>
      <c r="I18" s="43">
        <f t="shared" si="6"/>
        <v>7197.49</v>
      </c>
      <c r="J18" s="16">
        <v>14198.1</v>
      </c>
      <c r="K18" s="16">
        <v>6469.95</v>
      </c>
      <c r="L18" s="23">
        <f t="shared" si="0"/>
        <v>97.264601965407394</v>
      </c>
      <c r="M18" s="97">
        <f t="shared" si="1"/>
        <v>-54.430874553637466</v>
      </c>
    </row>
    <row r="19" spans="1:13" ht="16" thickBot="1">
      <c r="A19" s="48">
        <f t="shared" si="5"/>
        <v>11</v>
      </c>
      <c r="B19" s="32">
        <v>39903</v>
      </c>
      <c r="C19" s="32">
        <v>43889</v>
      </c>
      <c r="D19" s="32">
        <v>43921</v>
      </c>
      <c r="E19" s="18">
        <f t="shared" si="2"/>
        <v>10.920547945205479</v>
      </c>
      <c r="F19" s="19">
        <f t="shared" si="3"/>
        <v>8.7671232876712329E-2</v>
      </c>
      <c r="G19" s="18">
        <f t="shared" si="4"/>
        <v>11.008219178082191</v>
      </c>
      <c r="H19" s="45"/>
      <c r="I19" s="19">
        <f t="shared" si="6"/>
        <v>6469.95</v>
      </c>
      <c r="J19" s="20">
        <v>29568.57</v>
      </c>
      <c r="K19" s="20">
        <v>18213.650000000001</v>
      </c>
      <c r="L19" s="24">
        <f t="shared" si="0"/>
        <v>357.01388727888161</v>
      </c>
      <c r="M19" s="98">
        <f t="shared" si="1"/>
        <v>-38.401992385834006</v>
      </c>
    </row>
    <row r="20" spans="1:13" ht="16" thickBot="1">
      <c r="B20" s="78" t="s">
        <v>18</v>
      </c>
      <c r="C20" s="79"/>
      <c r="D20" s="54"/>
      <c r="E20" s="80" cm="1">
        <f t="array" ref="E20">+SUM((E9:E19)/A19)</f>
        <v>7.1576587795765878</v>
      </c>
      <c r="F20" s="81" cm="1">
        <f t="array" ref="F20">+SUM((F9:F19)/A19)</f>
        <v>1.8104607721046078</v>
      </c>
      <c r="G20" s="82" cm="1">
        <f t="array" ref="G20">+SUM((G9:G19)/A19)</f>
        <v>8.9681195516811947</v>
      </c>
      <c r="H20" s="45"/>
      <c r="I20" s="83" t="s">
        <v>19</v>
      </c>
      <c r="J20" s="56"/>
      <c r="K20" s="55"/>
      <c r="L20" s="84" cm="1">
        <f t="array" ref="L20">SUM((L9:L19)/A19)</f>
        <v>289.43244787589305</v>
      </c>
      <c r="M20" s="99" cm="1">
        <f t="array" ref="M20">SUM((M9:M19)/A19)</f>
        <v>-43.851976338505338</v>
      </c>
    </row>
    <row r="21" spans="1:13">
      <c r="B21" s="77"/>
      <c r="C21" s="44"/>
      <c r="D21" s="44"/>
      <c r="E21" s="45"/>
      <c r="F21" s="45"/>
      <c r="G21" s="45"/>
      <c r="H21" s="45"/>
      <c r="I21" s="45"/>
      <c r="J21" s="41"/>
      <c r="K21" s="41"/>
      <c r="L21" s="42"/>
      <c r="M21" s="42"/>
    </row>
    <row r="22" spans="1:13" ht="16" thickBot="1">
      <c r="A22" s="57"/>
      <c r="B22" s="44"/>
      <c r="C22" s="44"/>
      <c r="D22" s="44"/>
      <c r="E22" s="45"/>
      <c r="F22" s="59" t="s">
        <v>13</v>
      </c>
      <c r="G22" s="45"/>
      <c r="H22" s="45"/>
      <c r="I22" s="45"/>
      <c r="J22" s="41"/>
      <c r="K22" s="41"/>
      <c r="L22" s="42"/>
      <c r="M22" s="42"/>
    </row>
    <row r="23" spans="1:13" ht="16" thickBot="1">
      <c r="A23" s="58"/>
      <c r="B23" s="29" t="s">
        <v>14</v>
      </c>
      <c r="C23" s="7" t="s">
        <v>15</v>
      </c>
      <c r="D23" s="8" t="s">
        <v>6</v>
      </c>
      <c r="E23" s="8" t="s">
        <v>0</v>
      </c>
      <c r="F23" s="14" t="s">
        <v>9</v>
      </c>
      <c r="G23" s="8" t="s">
        <v>7</v>
      </c>
      <c r="H23" s="70"/>
      <c r="I23" s="8" t="s">
        <v>4</v>
      </c>
      <c r="J23" s="7" t="s">
        <v>8</v>
      </c>
      <c r="K23" s="28" t="s">
        <v>6</v>
      </c>
      <c r="L23" s="9" t="s">
        <v>1</v>
      </c>
      <c r="M23" s="27" t="s">
        <v>2</v>
      </c>
    </row>
    <row r="24" spans="1:13" s="61" customFormat="1" ht="11" thickBot="1">
      <c r="A24" s="60">
        <f>A19+1</f>
        <v>12</v>
      </c>
      <c r="B24" s="54">
        <v>43921</v>
      </c>
      <c r="C24" s="54">
        <v>45657</v>
      </c>
      <c r="D24" s="54" t="s">
        <v>10</v>
      </c>
      <c r="E24" s="62">
        <f>+(C24-B24)/365</f>
        <v>4.7561643835616438</v>
      </c>
      <c r="F24" s="54" t="s">
        <v>10</v>
      </c>
      <c r="G24" s="54" t="s">
        <v>10</v>
      </c>
      <c r="H24" s="54"/>
      <c r="I24" s="54"/>
      <c r="J24" s="54" t="s">
        <v>10</v>
      </c>
      <c r="K24" s="54" t="s">
        <v>10</v>
      </c>
      <c r="L24" s="54"/>
      <c r="M24" s="54" t="s">
        <v>10</v>
      </c>
    </row>
    <row r="25" spans="1:13" ht="16"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22"/>
      <c r="M25" s="25"/>
    </row>
    <row r="26" spans="1:13">
      <c r="B26" t="s">
        <v>22</v>
      </c>
    </row>
    <row r="27" spans="1:13">
      <c r="B27"/>
    </row>
    <row r="28" spans="1:13">
      <c r="B28" t="s">
        <v>23</v>
      </c>
    </row>
    <row r="29" spans="1:13">
      <c r="B29" t="s">
        <v>24</v>
      </c>
    </row>
    <row r="30" spans="1:13">
      <c r="B30" t="s">
        <v>25</v>
      </c>
    </row>
    <row r="31" spans="1:13">
      <c r="B31" t="s">
        <v>26</v>
      </c>
    </row>
    <row r="32" spans="1:13">
      <c r="B32" t="s">
        <v>27</v>
      </c>
    </row>
    <row r="33" spans="2:5">
      <c r="B33"/>
    </row>
    <row r="34" spans="2:5">
      <c r="B34" t="s">
        <v>28</v>
      </c>
    </row>
    <row r="35" spans="2:5">
      <c r="B35" t="s">
        <v>29</v>
      </c>
    </row>
    <row r="36" spans="2:5">
      <c r="B36" t="s">
        <v>30</v>
      </c>
    </row>
    <row r="37" spans="2:5">
      <c r="B37" t="s">
        <v>31</v>
      </c>
      <c r="C37" s="93"/>
    </row>
    <row r="38" spans="2:5">
      <c r="B38" t="s">
        <v>32</v>
      </c>
      <c r="C38" s="93"/>
    </row>
    <row r="39" spans="2:5">
      <c r="B39" t="s">
        <v>33</v>
      </c>
      <c r="C39" s="93"/>
    </row>
    <row r="40" spans="2:5">
      <c r="B40" t="s">
        <v>34</v>
      </c>
      <c r="C40" s="93"/>
    </row>
    <row r="41" spans="2:5">
      <c r="B41" t="s">
        <v>35</v>
      </c>
      <c r="C41" s="93"/>
    </row>
    <row r="42" spans="2:5">
      <c r="B42" t="s">
        <v>36</v>
      </c>
      <c r="C42" s="93"/>
    </row>
    <row r="43" spans="2:5">
      <c r="B43" t="s">
        <v>37</v>
      </c>
    </row>
    <row r="44" spans="2:5">
      <c r="B44" t="s">
        <v>38</v>
      </c>
    </row>
    <row r="45" spans="2:5">
      <c r="B45" t="s">
        <v>39</v>
      </c>
      <c r="C45" s="95"/>
      <c r="D45" s="95"/>
      <c r="E45" s="95"/>
    </row>
    <row r="46" spans="2:5">
      <c r="B46" t="s">
        <v>40</v>
      </c>
    </row>
    <row r="47" spans="2:5">
      <c r="B47" t="s">
        <v>41</v>
      </c>
    </row>
    <row r="48" spans="2:5">
      <c r="B48"/>
    </row>
    <row r="49" spans="2:2">
      <c r="B49" t="s">
        <v>42</v>
      </c>
    </row>
    <row r="50" spans="2:2">
      <c r="B50" t="s">
        <v>43</v>
      </c>
    </row>
    <row r="51" spans="2:2">
      <c r="B51" t="s">
        <v>44</v>
      </c>
    </row>
    <row r="52" spans="2:2">
      <c r="B52" t="s">
        <v>45</v>
      </c>
    </row>
    <row r="53" spans="2:2">
      <c r="B53" t="s">
        <v>46</v>
      </c>
    </row>
    <row r="54" spans="2:2">
      <c r="B54"/>
    </row>
    <row r="55" spans="2:2">
      <c r="B55" t="s">
        <v>47</v>
      </c>
    </row>
    <row r="56" spans="2:2">
      <c r="B56" t="s">
        <v>48</v>
      </c>
    </row>
    <row r="57" spans="2:2">
      <c r="B57" t="s">
        <v>49</v>
      </c>
    </row>
    <row r="58" spans="2:2">
      <c r="B58"/>
    </row>
    <row r="59" spans="2:2">
      <c r="B59" t="s">
        <v>50</v>
      </c>
    </row>
    <row r="60" spans="2:2">
      <c r="B60" t="s">
        <v>51</v>
      </c>
    </row>
    <row r="61" spans="2:2">
      <c r="B61" t="s">
        <v>52</v>
      </c>
    </row>
    <row r="62" spans="2:2">
      <c r="B62"/>
    </row>
    <row r="63" spans="2:2">
      <c r="B63" t="s">
        <v>21</v>
      </c>
    </row>
    <row r="64" spans="2:2">
      <c r="B64"/>
    </row>
    <row r="65" spans="1:3">
      <c r="B65" t="s">
        <v>53</v>
      </c>
    </row>
    <row r="66" spans="1:3">
      <c r="B66" t="s">
        <v>54</v>
      </c>
    </row>
    <row r="67" spans="1:3">
      <c r="B67" t="s">
        <v>55</v>
      </c>
    </row>
    <row r="68" spans="1:3">
      <c r="B68" t="s">
        <v>56</v>
      </c>
    </row>
    <row r="69" spans="1:3">
      <c r="B69" t="s">
        <v>57</v>
      </c>
    </row>
    <row r="70" spans="1:3">
      <c r="B70"/>
    </row>
    <row r="71" spans="1:3">
      <c r="B71" t="s">
        <v>58</v>
      </c>
    </row>
    <row r="72" spans="1:3">
      <c r="A72" s="130"/>
      <c r="B72"/>
      <c r="C72" s="95"/>
    </row>
    <row r="73" spans="1:3">
      <c r="A73" s="130"/>
      <c r="B73" t="s">
        <v>59</v>
      </c>
      <c r="C73" s="95"/>
    </row>
    <row r="74" spans="1:3">
      <c r="A74" s="130"/>
      <c r="C74" s="95"/>
    </row>
    <row r="75" spans="1:3">
      <c r="A75" s="130"/>
      <c r="C75" s="95"/>
    </row>
    <row r="76" spans="1:3">
      <c r="A76" s="130"/>
      <c r="C76" s="95"/>
    </row>
    <row r="77" spans="1:3">
      <c r="A77" s="130"/>
      <c r="C77" s="95"/>
    </row>
    <row r="78" spans="1:3">
      <c r="A78" s="130"/>
      <c r="C78" s="95"/>
    </row>
    <row r="80" spans="1:3">
      <c r="C80" s="95"/>
    </row>
    <row r="81" spans="2:3">
      <c r="B81" s="95"/>
      <c r="C81" s="95"/>
    </row>
    <row r="82" spans="2:3">
      <c r="B82" s="94"/>
      <c r="C82" s="95"/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4B17F-82F5-4CD5-9EFD-C1038E454D31}">
  <dimension ref="A5:S32"/>
  <sheetViews>
    <sheetView zoomScale="85" zoomScaleNormal="85" workbookViewId="0">
      <selection activeCell="H3" sqref="H3"/>
    </sheetView>
  </sheetViews>
  <sheetFormatPr baseColWidth="10" defaultRowHeight="15"/>
  <cols>
    <col min="1" max="1" width="2.1640625" customWidth="1"/>
    <col min="2" max="2" width="8" customWidth="1"/>
    <col min="3" max="3" width="7.5" customWidth="1"/>
    <col min="4" max="4" width="8.5" customWidth="1"/>
    <col min="5" max="5" width="4.83203125" customWidth="1"/>
    <col min="6" max="6" width="6" customWidth="1"/>
    <col min="7" max="7" width="6.1640625" customWidth="1"/>
    <col min="8" max="8" width="6.5" customWidth="1"/>
    <col min="9" max="9" width="8.33203125" style="2" customWidth="1"/>
    <col min="10" max="10" width="7.33203125" style="3" customWidth="1"/>
    <col min="11" max="11" width="7" customWidth="1"/>
    <col min="12" max="12" width="12.83203125" style="3" customWidth="1"/>
    <col min="13" max="13" width="7.83203125" style="6" customWidth="1"/>
    <col min="14" max="14" width="7.1640625" customWidth="1"/>
    <col min="15" max="15" width="7" customWidth="1"/>
    <col min="16" max="16" width="7.33203125" customWidth="1"/>
    <col min="17" max="17" width="8.6640625" customWidth="1"/>
    <col min="18" max="18" width="6.6640625" customWidth="1"/>
    <col min="19" max="19" width="8.5" customWidth="1"/>
  </cols>
  <sheetData>
    <row r="5" spans="1:16">
      <c r="D5" s="100"/>
    </row>
    <row r="6" spans="1:16">
      <c r="A6" s="1"/>
      <c r="B6" s="1"/>
      <c r="C6" s="1"/>
      <c r="D6" s="1"/>
      <c r="E6" s="1"/>
      <c r="F6" s="1"/>
      <c r="G6" s="1"/>
      <c r="H6" s="1"/>
      <c r="I6" s="101"/>
      <c r="J6" s="102"/>
      <c r="K6" s="1"/>
      <c r="L6" s="102"/>
      <c r="M6" s="103"/>
      <c r="N6" s="1"/>
      <c r="O6" s="1"/>
    </row>
    <row r="7" spans="1:16">
      <c r="A7" s="1"/>
      <c r="B7" s="1"/>
      <c r="C7" s="1"/>
      <c r="D7" s="1"/>
      <c r="E7" s="1"/>
      <c r="F7" s="1"/>
      <c r="G7" s="1"/>
      <c r="H7" s="1"/>
      <c r="I7" s="101"/>
      <c r="J7" s="102"/>
      <c r="K7" s="1"/>
      <c r="L7" s="102"/>
      <c r="M7" s="103"/>
      <c r="N7" s="1"/>
      <c r="O7" s="1"/>
    </row>
    <row r="8" spans="1:16">
      <c r="A8" s="1"/>
      <c r="B8" s="1"/>
      <c r="C8" s="1"/>
      <c r="D8" s="1"/>
      <c r="E8" s="1"/>
      <c r="F8" s="1"/>
      <c r="G8" s="1"/>
      <c r="H8" s="1"/>
      <c r="I8" s="101"/>
      <c r="J8" s="102"/>
      <c r="K8" s="1"/>
      <c r="L8" s="102"/>
      <c r="M8" s="103"/>
      <c r="N8" s="1"/>
      <c r="O8" s="1"/>
      <c r="P8" s="1"/>
    </row>
    <row r="9" spans="1:16">
      <c r="A9" s="104"/>
      <c r="B9" s="104"/>
      <c r="C9" s="104"/>
      <c r="D9" s="104"/>
      <c r="E9" s="104"/>
      <c r="F9" s="104"/>
      <c r="G9" s="104"/>
      <c r="H9" s="104"/>
      <c r="I9" s="105"/>
      <c r="J9" s="106"/>
      <c r="K9" s="107"/>
      <c r="L9" s="106"/>
      <c r="M9" s="107"/>
      <c r="N9" s="107"/>
      <c r="O9" s="107"/>
      <c r="P9" s="107"/>
    </row>
    <row r="10" spans="1:16">
      <c r="A10" s="1"/>
      <c r="B10" s="1"/>
      <c r="C10" s="1"/>
      <c r="D10" s="1"/>
      <c r="E10" s="1"/>
      <c r="F10" s="1"/>
      <c r="G10" s="1"/>
      <c r="H10" s="1"/>
      <c r="I10" s="101"/>
      <c r="J10" s="102"/>
      <c r="K10" s="103"/>
      <c r="L10" s="102"/>
      <c r="M10" s="107"/>
      <c r="N10" s="107"/>
      <c r="O10" s="107"/>
      <c r="P10" s="107"/>
    </row>
    <row r="11" spans="1:16">
      <c r="A11" s="1"/>
      <c r="B11" s="1"/>
      <c r="C11" s="1"/>
      <c r="D11" s="1"/>
      <c r="E11" s="1"/>
      <c r="F11" s="1"/>
      <c r="G11" s="1"/>
      <c r="H11" s="1"/>
      <c r="I11" s="101"/>
      <c r="J11" s="102"/>
      <c r="K11" s="103"/>
      <c r="L11" s="102"/>
      <c r="M11" s="103"/>
      <c r="N11" s="103"/>
      <c r="O11" s="103"/>
      <c r="P11" s="107"/>
    </row>
    <row r="12" spans="1:16">
      <c r="A12" s="1"/>
      <c r="B12" s="1"/>
      <c r="C12" s="1"/>
      <c r="D12" s="1"/>
      <c r="E12" s="1"/>
      <c r="F12" s="1"/>
      <c r="G12" s="1"/>
      <c r="H12" s="1"/>
      <c r="I12" s="101"/>
      <c r="J12" s="102"/>
      <c r="K12" s="103"/>
      <c r="L12" s="102"/>
      <c r="M12" s="103"/>
      <c r="N12" s="103"/>
      <c r="O12" s="103"/>
      <c r="P12" s="107"/>
    </row>
    <row r="13" spans="1:16">
      <c r="A13" s="1"/>
      <c r="B13" s="1"/>
      <c r="C13" s="1"/>
      <c r="D13" s="1"/>
      <c r="E13" s="1"/>
      <c r="F13" s="1"/>
      <c r="G13" s="1"/>
      <c r="H13" s="1"/>
      <c r="I13" s="101"/>
      <c r="J13" s="102"/>
      <c r="K13" s="103"/>
      <c r="L13" s="102"/>
      <c r="M13" s="103"/>
      <c r="N13" s="103"/>
      <c r="O13" s="103"/>
      <c r="P13" s="107"/>
    </row>
    <row r="14" spans="1:16">
      <c r="A14" s="1"/>
      <c r="B14" s="1"/>
      <c r="C14" s="1"/>
      <c r="D14" s="1"/>
      <c r="E14" s="1"/>
      <c r="F14" s="1"/>
      <c r="G14" s="1"/>
      <c r="H14" s="1"/>
      <c r="I14" s="101"/>
      <c r="J14" s="102"/>
      <c r="K14" s="103"/>
      <c r="L14" s="102"/>
      <c r="M14" s="103"/>
      <c r="N14" s="103"/>
      <c r="O14" s="103"/>
      <c r="P14" s="107"/>
    </row>
    <row r="15" spans="1:16">
      <c r="A15" s="1"/>
      <c r="B15" s="1"/>
      <c r="C15" s="1"/>
      <c r="D15" s="1"/>
      <c r="E15" s="1"/>
      <c r="F15" s="1"/>
      <c r="G15" s="1"/>
      <c r="H15" s="1"/>
      <c r="I15" s="101"/>
      <c r="J15" s="102"/>
      <c r="K15" s="103"/>
      <c r="L15" s="102"/>
      <c r="M15" s="103"/>
      <c r="N15" s="103"/>
      <c r="O15" s="103"/>
      <c r="P15" s="107"/>
    </row>
    <row r="16" spans="1:16">
      <c r="A16" s="1"/>
      <c r="B16" s="1"/>
      <c r="C16" s="1"/>
      <c r="D16" s="1"/>
      <c r="E16" s="1"/>
      <c r="F16" s="1"/>
      <c r="G16" s="1"/>
      <c r="H16" s="1"/>
      <c r="I16" s="101"/>
      <c r="J16" s="102"/>
      <c r="K16" s="103"/>
      <c r="L16" s="102"/>
      <c r="M16" s="103"/>
      <c r="N16" s="103"/>
      <c r="O16" s="103"/>
      <c r="P16" s="107"/>
    </row>
    <row r="17" spans="1:19">
      <c r="A17" s="1"/>
      <c r="B17" s="1"/>
      <c r="C17" s="1"/>
      <c r="D17" s="1"/>
      <c r="E17" s="1"/>
      <c r="F17" s="1"/>
      <c r="G17" s="1"/>
      <c r="H17" s="1"/>
      <c r="I17" s="101"/>
      <c r="J17" s="102"/>
      <c r="K17" s="1"/>
      <c r="L17" s="102"/>
      <c r="M17" s="103"/>
      <c r="N17" s="1"/>
      <c r="O17" s="1"/>
    </row>
    <row r="18" spans="1:19">
      <c r="B18" s="108"/>
      <c r="C18" s="108"/>
      <c r="D18" s="108"/>
      <c r="E18" s="108"/>
      <c r="F18" s="108"/>
      <c r="G18" s="108"/>
      <c r="H18" s="108"/>
      <c r="I18" s="108"/>
      <c r="J18" s="108"/>
      <c r="K18" s="109"/>
      <c r="L18" s="109"/>
      <c r="M18" s="110"/>
      <c r="N18" s="111"/>
      <c r="O18" s="112"/>
      <c r="P18" s="111"/>
      <c r="Q18" s="112"/>
      <c r="R18" s="112"/>
      <c r="S18" s="112"/>
    </row>
    <row r="19" spans="1:19">
      <c r="B19" s="113"/>
      <c r="C19" s="113"/>
      <c r="D19" s="113"/>
      <c r="E19" s="114"/>
      <c r="F19" s="114"/>
      <c r="G19" s="114"/>
      <c r="H19" s="114"/>
      <c r="I19" s="115"/>
      <c r="J19" s="115"/>
      <c r="K19" s="116"/>
      <c r="L19" s="116"/>
      <c r="M19" s="110"/>
      <c r="N19" s="112"/>
      <c r="O19" s="110"/>
      <c r="P19" s="112"/>
      <c r="Q19" s="112"/>
      <c r="R19" s="112"/>
      <c r="S19" s="112"/>
    </row>
    <row r="20" spans="1:19">
      <c r="B20" s="113"/>
      <c r="C20" s="113"/>
      <c r="D20" s="113"/>
      <c r="E20" s="114"/>
      <c r="F20" s="114"/>
      <c r="G20" s="114"/>
      <c r="H20" s="117"/>
      <c r="I20" s="118"/>
      <c r="J20" s="118"/>
      <c r="K20" s="116"/>
      <c r="L20" s="116"/>
      <c r="M20" s="110"/>
      <c r="N20" s="112"/>
      <c r="O20" s="110"/>
      <c r="P20" s="112"/>
      <c r="Q20" s="112"/>
      <c r="R20" s="112"/>
      <c r="S20" s="112"/>
    </row>
    <row r="21" spans="1:19">
      <c r="B21" s="113"/>
      <c r="C21" s="113"/>
      <c r="D21" s="113"/>
      <c r="E21" s="114"/>
      <c r="F21" s="114"/>
      <c r="G21" s="114"/>
      <c r="H21" s="117"/>
      <c r="I21" s="118"/>
      <c r="J21" s="118"/>
      <c r="K21" s="116"/>
      <c r="L21" s="116"/>
      <c r="M21" s="110"/>
      <c r="N21" s="112"/>
      <c r="O21" s="110"/>
      <c r="P21" s="112"/>
      <c r="Q21" s="112"/>
      <c r="R21" s="112"/>
      <c r="S21" s="112"/>
    </row>
    <row r="22" spans="1:19">
      <c r="B22" s="113"/>
      <c r="C22" s="113"/>
      <c r="D22" s="119"/>
      <c r="E22" s="114"/>
      <c r="F22" s="114"/>
      <c r="G22" s="114"/>
      <c r="H22" s="117"/>
      <c r="I22" s="118"/>
      <c r="J22" s="118"/>
      <c r="K22" s="116"/>
      <c r="L22" s="116"/>
      <c r="M22" s="110"/>
      <c r="N22" s="112"/>
      <c r="O22" s="110"/>
      <c r="P22" s="112"/>
      <c r="Q22" s="112"/>
      <c r="R22" s="112"/>
      <c r="S22" s="112"/>
    </row>
    <row r="23" spans="1:19">
      <c r="B23" s="113"/>
      <c r="C23" s="113"/>
      <c r="D23" s="113"/>
      <c r="E23" s="114"/>
      <c r="F23" s="114"/>
      <c r="G23" s="114"/>
      <c r="H23" s="117"/>
      <c r="I23" s="118"/>
      <c r="J23" s="118"/>
      <c r="K23" s="116"/>
      <c r="L23" s="116"/>
      <c r="M23" s="110"/>
      <c r="N23" s="112"/>
      <c r="O23" s="110"/>
      <c r="P23" s="112"/>
      <c r="Q23" s="112"/>
      <c r="R23" s="112"/>
      <c r="S23" s="112"/>
    </row>
    <row r="24" spans="1:19">
      <c r="B24" s="113"/>
      <c r="C24" s="113"/>
      <c r="D24" s="113"/>
      <c r="E24" s="114"/>
      <c r="F24" s="114"/>
      <c r="G24" s="114"/>
      <c r="H24" s="117"/>
      <c r="I24" s="120"/>
      <c r="J24" s="118"/>
      <c r="K24" s="116"/>
      <c r="L24" s="116"/>
      <c r="M24" s="110"/>
      <c r="N24" s="112"/>
      <c r="O24" s="110"/>
      <c r="P24" s="112"/>
      <c r="Q24" s="112"/>
      <c r="R24" s="112"/>
      <c r="S24" s="112"/>
    </row>
    <row r="25" spans="1:19">
      <c r="B25" s="113"/>
      <c r="C25" s="113"/>
      <c r="D25" s="113"/>
      <c r="E25" s="114"/>
      <c r="F25" s="114"/>
      <c r="G25" s="114"/>
      <c r="H25" s="114"/>
      <c r="I25" s="121"/>
      <c r="J25" s="115"/>
      <c r="K25" s="116"/>
      <c r="L25" s="116"/>
      <c r="M25" s="110"/>
      <c r="N25" s="112"/>
      <c r="O25" s="110"/>
      <c r="P25" s="112"/>
      <c r="Q25" s="112"/>
      <c r="R25" s="112"/>
      <c r="S25" s="112"/>
    </row>
    <row r="26" spans="1:19">
      <c r="B26" s="113"/>
      <c r="C26" s="113"/>
      <c r="D26" s="113"/>
      <c r="E26" s="114"/>
      <c r="F26" s="114"/>
      <c r="G26" s="114"/>
      <c r="H26" s="114"/>
      <c r="I26" s="121"/>
      <c r="J26" s="115"/>
      <c r="K26" s="116"/>
      <c r="L26" s="116"/>
      <c r="M26" s="110"/>
      <c r="N26" s="112"/>
      <c r="O26" s="110"/>
      <c r="P26" s="112"/>
      <c r="Q26" s="112"/>
      <c r="R26" s="112"/>
      <c r="S26" s="112"/>
    </row>
    <row r="27" spans="1:19">
      <c r="B27" s="113"/>
      <c r="C27" s="113"/>
      <c r="D27" s="113"/>
      <c r="E27" s="114"/>
      <c r="F27" s="114"/>
      <c r="G27" s="114"/>
      <c r="H27" s="114"/>
      <c r="I27" s="121"/>
      <c r="J27" s="115"/>
      <c r="K27" s="116"/>
      <c r="L27" s="116"/>
      <c r="M27" s="110"/>
      <c r="N27" s="112"/>
      <c r="O27" s="110"/>
      <c r="P27" s="112"/>
      <c r="Q27" s="112"/>
      <c r="R27" s="112"/>
      <c r="S27" s="112"/>
    </row>
    <row r="28" spans="1:19">
      <c r="B28" s="113"/>
      <c r="C28" s="113"/>
      <c r="D28" s="113"/>
      <c r="E28" s="114"/>
      <c r="F28" s="114"/>
      <c r="G28" s="114"/>
      <c r="H28" s="114"/>
      <c r="I28" s="115"/>
      <c r="J28" s="115"/>
      <c r="K28" s="116"/>
      <c r="L28" s="116"/>
      <c r="M28" s="110"/>
      <c r="N28" s="112"/>
      <c r="O28" s="110"/>
      <c r="P28" s="112"/>
      <c r="Q28" s="112"/>
      <c r="R28" s="112"/>
      <c r="S28" s="112"/>
    </row>
    <row r="29" spans="1:19">
      <c r="B29" s="113"/>
      <c r="C29" s="113"/>
      <c r="D29" s="113"/>
      <c r="E29" s="114"/>
      <c r="F29" s="114"/>
      <c r="G29" s="114"/>
      <c r="H29" s="114"/>
      <c r="I29" s="115"/>
      <c r="J29" s="115"/>
      <c r="K29" s="116"/>
      <c r="L29" s="116"/>
      <c r="M29" s="110"/>
      <c r="N29" s="112"/>
      <c r="O29" s="110"/>
      <c r="P29" s="112"/>
      <c r="Q29" s="112"/>
      <c r="R29" s="112"/>
      <c r="S29" s="112"/>
    </row>
    <row r="30" spans="1:19">
      <c r="B30" s="113"/>
      <c r="C30" s="113"/>
      <c r="D30" s="122"/>
      <c r="E30" s="114"/>
      <c r="F30" s="114"/>
      <c r="G30" s="114"/>
      <c r="H30" s="114"/>
      <c r="I30" s="121"/>
      <c r="J30" s="121"/>
      <c r="K30" s="116"/>
      <c r="L30" s="123"/>
      <c r="M30" s="110"/>
      <c r="N30" s="112"/>
      <c r="O30" s="112"/>
      <c r="P30" s="112"/>
      <c r="Q30" s="112"/>
      <c r="R30" s="112"/>
      <c r="S30" s="112"/>
    </row>
    <row r="31" spans="1:19" ht="16">
      <c r="B31" s="124"/>
      <c r="C31" s="124"/>
      <c r="D31" s="124"/>
      <c r="E31" s="125"/>
      <c r="F31" s="125"/>
      <c r="G31" s="125"/>
      <c r="H31" s="125"/>
      <c r="I31" s="125"/>
      <c r="J31" s="125"/>
      <c r="K31" s="126"/>
      <c r="L31" s="126"/>
    </row>
    <row r="32" spans="1:19">
      <c r="B32" s="127"/>
      <c r="C32" s="127"/>
      <c r="D32" s="127"/>
      <c r="E32" s="128"/>
      <c r="F32" s="128"/>
      <c r="G32" s="128"/>
      <c r="H32" s="128"/>
      <c r="I32" s="128"/>
      <c r="J32" s="128"/>
      <c r="K32" s="129"/>
      <c r="L32" s="129"/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56222-8FE4-4455-948D-0583476CDD90}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CYCLES</vt:lpstr>
      <vt:lpstr>A</vt:lpstr>
      <vt:lpstr>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FERMIN MOLINA ALONSO</dc:creator>
  <cp:lastModifiedBy>Rodrigo Fermin Burzaco Molina</cp:lastModifiedBy>
  <cp:lastPrinted>2026-01-08T14:35:23Z</cp:lastPrinted>
  <dcterms:created xsi:type="dcterms:W3CDTF">2024-10-18T11:09:49Z</dcterms:created>
  <dcterms:modified xsi:type="dcterms:W3CDTF">2026-01-09T01:52:16Z</dcterms:modified>
</cp:coreProperties>
</file>